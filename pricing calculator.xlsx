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<sst xmlns="http://schemas.openxmlformats.org/spreadsheetml/2006/main" count="23" uniqueCount="23">
  <si>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component</t>
  </si>
  <si>
    <t>$/pc</t>
  </si>
  <si>
    <t>quantity</t>
  </si>
  <si>
    <t>cost</t>
  </si>
  <si>
    <t>C1</t>
  </si>
  <si>
    <t>C2</t>
  </si>
  <si>
    <t>D1</t>
  </si>
  <si>
    <t>K2</t>
  </si>
  <si>
    <t>J1</t>
  </si>
  <si>
    <t>Q1</t>
  </si>
  <si>
    <t>R1,R2,R3</t>
  </si>
  <si>
    <t>U1</t>
  </si>
  <si>
    <t>A1</t>
  </si>
  <si>
    <t>header</t>
  </si>
  <si>
    <t>pcb</t>
  </si>
  <si>
    <t>case</t>
  </si>
  <si>
    <t xml:space="preserve">pcb screw</t>
  </si>
  <si>
    <t xml:space="preserve">lid screw</t>
  </si>
  <si>
    <t>o-ring</t>
  </si>
  <si>
    <t xml:space="preserve">cost of components</t>
  </si>
  <si>
    <t>shipping</t>
  </si>
  <si>
    <t xml:space="preserve">fun profits</t>
  </si>
  <si>
    <t xml:space="preserve">price to charge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</si>
</sst>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00390625"/>
    <col customWidth="1" min="8" max="8" width="20.00390625"/>
    <col customWidth="1" min="10" max="10" width="11.57421875"/>
    <col customWidth="1" min="11" max="11" width="13.421875"/>
    <col customWidth="1" min="12" max="12" width="12.281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t="s">
        <v>4</v>
      </c>
      <c r="B2">
        <v>0.25600000000000001</v>
      </c>
      <c r="C2">
        <v>1</v>
      </c>
      <c r="D2">
        <f t="shared" ref="D2:D9" si="0">B2*C2</f>
        <v>0.25600000000000001</v>
      </c>
    </row>
    <row r="3" ht="14.25">
      <c r="A3" t="s">
        <v>5</v>
      </c>
      <c r="B3">
        <v>0.183</v>
      </c>
      <c r="C3">
        <v>1</v>
      </c>
      <c r="D3">
        <f t="shared" si="0"/>
        <v>0.183</v>
      </c>
    </row>
    <row r="4" ht="14.25">
      <c r="A4" t="s">
        <v>6</v>
      </c>
      <c r="B4">
        <v>0.114</v>
      </c>
      <c r="C4">
        <v>1</v>
      </c>
      <c r="D4">
        <f t="shared" si="0"/>
        <v>0.114</v>
      </c>
    </row>
    <row r="5" ht="14.25">
      <c r="A5" t="s">
        <v>7</v>
      </c>
      <c r="B5">
        <v>0.70099999999999996</v>
      </c>
      <c r="C5">
        <v>1</v>
      </c>
      <c r="D5">
        <f t="shared" si="0"/>
        <v>0.70099999999999996</v>
      </c>
    </row>
    <row r="6" ht="14.25">
      <c r="A6" t="s">
        <v>8</v>
      </c>
      <c r="B6">
        <v>0.54900000000000004</v>
      </c>
      <c r="C6">
        <v>1</v>
      </c>
      <c r="D6">
        <f t="shared" si="0"/>
        <v>0.54900000000000004</v>
      </c>
    </row>
    <row r="7" ht="14.25">
      <c r="A7" t="s">
        <v>9</v>
      </c>
      <c r="B7">
        <v>0.081000000000000003</v>
      </c>
      <c r="C7">
        <v>1</v>
      </c>
      <c r="D7">
        <f t="shared" si="0"/>
        <v>0.081000000000000003</v>
      </c>
    </row>
    <row r="8" ht="14.25">
      <c r="A8" t="s">
        <v>10</v>
      </c>
      <c r="B8">
        <v>0.032000000000000001</v>
      </c>
      <c r="C8">
        <v>3</v>
      </c>
      <c r="D8">
        <f t="shared" si="0"/>
        <v>0.096000000000000002</v>
      </c>
    </row>
    <row r="9" ht="14.25">
      <c r="A9" t="s">
        <v>11</v>
      </c>
      <c r="B9">
        <v>1.49</v>
      </c>
      <c r="C9">
        <v>1</v>
      </c>
      <c r="D9">
        <f t="shared" si="0"/>
        <v>1.49</v>
      </c>
    </row>
    <row r="10" ht="14.25">
      <c r="A10" t="s">
        <v>12</v>
      </c>
      <c r="B10">
        <v>5.9000000000000004</v>
      </c>
      <c r="C10">
        <v>1</v>
      </c>
      <c r="D10">
        <f t="shared" ref="D10:D14" si="1">B10*C10</f>
        <v>5.9000000000000004</v>
      </c>
    </row>
    <row r="11" ht="14.25">
      <c r="A11" t="s">
        <v>13</v>
      </c>
      <c r="B11">
        <v>0.47999999999999998</v>
      </c>
      <c r="C11">
        <v>2</v>
      </c>
      <c r="D11">
        <f t="shared" si="1"/>
        <v>0.95999999999999996</v>
      </c>
    </row>
    <row r="12" ht="14.25">
      <c r="A12" t="s">
        <v>14</v>
      </c>
      <c r="B12">
        <v>34.600000000000001</v>
      </c>
      <c r="C12">
        <v>0.33333333333333331</v>
      </c>
      <c r="D12">
        <f t="shared" si="1"/>
        <v>11.533333333333333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ht="14.25">
      <c r="A13" t="s">
        <v>15</v>
      </c>
      <c r="B13">
        <v>0</v>
      </c>
      <c r="C13">
        <v>1</v>
      </c>
      <c r="D13">
        <f t="shared" si="1"/>
        <v>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ht="14.25">
      <c r="A14" t="s">
        <v>16</v>
      </c>
      <c r="B14" s="1">
        <f>8.91/25</f>
        <v>0.35639999999999999</v>
      </c>
      <c r="C14">
        <v>4</v>
      </c>
      <c r="D14">
        <f t="shared" si="1"/>
        <v>1.4256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ht="14.25">
      <c r="A15" s="1" t="s">
        <v>17</v>
      </c>
      <c r="B15">
        <f>13.32/50</f>
        <v>0.26640000000000003</v>
      </c>
      <c r="C15">
        <v>8</v>
      </c>
      <c r="D15">
        <f>B15*C15</f>
        <v>2.1312000000000002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ht="14.25">
      <c r="A16" s="1" t="s">
        <v>18</v>
      </c>
      <c r="B16" s="1">
        <f>7.46/10</f>
        <v>0.746</v>
      </c>
      <c r="C16">
        <v>1</v>
      </c>
      <c r="D16">
        <f>B16*C16</f>
        <v>0.746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ht="14.25">
      <c r="A17"/>
      <c r="B17"/>
      <c r="C17"/>
      <c r="D17">
        <f>B17*C17</f>
        <v>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4.25">
      <c r="A18"/>
      <c r="B18"/>
      <c r="C18"/>
      <c r="D18">
        <f>B18*C18</f>
        <v>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ht="14.25">
      <c r="E19"/>
      <c r="F19"/>
      <c r="G19"/>
      <c r="H19" s="1" t="s">
        <v>19</v>
      </c>
      <c r="I19" s="1" t="s">
        <v>20</v>
      </c>
      <c r="J19" s="1" t="s">
        <v>21</v>
      </c>
      <c r="K19" s="1" t="s">
        <v>22</v>
      </c>
      <c r="L19"/>
      <c r="M19"/>
      <c r="N19"/>
      <c r="O19"/>
      <c r="P19"/>
      <c r="Q19"/>
      <c r="R19"/>
      <c r="S19"/>
      <c r="T19"/>
    </row>
    <row r="20" ht="14.25">
      <c r="E20"/>
      <c r="F20"/>
      <c r="G20"/>
      <c r="H20">
        <f>SUM(D2:D18)</f>
        <v>26.166133333333335</v>
      </c>
      <c r="I20">
        <v>0</v>
      </c>
      <c r="J20"/>
      <c r="K20"/>
      <c r="L20"/>
      <c r="M20"/>
      <c r="N20"/>
      <c r="O20"/>
      <c r="P20"/>
      <c r="Q20"/>
      <c r="R20"/>
      <c r="S20"/>
      <c r="T20"/>
    </row>
    <row r="21" ht="14.25"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4.25"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ht="14.25"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14.25"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ht="14.25"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ht="14.25"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ht="14.25"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ht="14.25"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ht="14.25"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ht="14.25"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ht="14.25"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ht="14.25"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14.25"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ht="14.25"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ht="14.25"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ht="14.25"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ht="14.25"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ht="14.25"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ht="14.25"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ht="14.25"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ht="14.25"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14.25"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ht="14.25"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ht="14.25"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ht="14.25"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14.25"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ht="14.25"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4.25"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ht="14.25"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2026-06-16T02:39:00Z</dcterms:modified>
</cp:coreProperties>
</file>